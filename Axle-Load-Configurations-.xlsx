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AM\"/>
    </mc:Choice>
  </mc:AlternateContent>
  <xr:revisionPtr revIDLastSave="0" documentId="13_ncr:1_{FD1654A6-44C3-488A-99A7-3AE9507E9E42}" xr6:coauthVersionLast="47" xr6:coauthVersionMax="47" xr10:uidLastSave="{00000000-0000-0000-0000-000000000000}"/>
  <bookViews>
    <workbookView xWindow="-98" yWindow="-98" windowWidth="21795" windowHeight="12975" xr2:uid="{815CBEDD-4E75-4ED3-9DC9-8E2D3E3F5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 s="1"/>
  <c r="K16" i="1" s="1"/>
  <c r="I6" i="1"/>
  <c r="J6" i="1" s="1"/>
  <c r="K6" i="1" s="1"/>
  <c r="I7" i="1"/>
  <c r="J7" i="1" s="1"/>
  <c r="K7" i="1" s="1"/>
  <c r="I5" i="1"/>
  <c r="J5" i="1" s="1"/>
  <c r="K5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4" i="1"/>
  <c r="J4" i="1" s="1"/>
  <c r="K4" i="1" s="1"/>
</calcChain>
</file>

<file path=xl/sharedStrings.xml><?xml version="1.0" encoding="utf-8"?>
<sst xmlns="http://schemas.openxmlformats.org/spreadsheetml/2006/main" count="26" uniqueCount="23">
  <si>
    <t>No. of Axles</t>
  </si>
  <si>
    <t>AXLE WEIGHT (kg)</t>
  </si>
  <si>
    <t>A1</t>
  </si>
  <si>
    <t>A2</t>
  </si>
  <si>
    <t>A3</t>
  </si>
  <si>
    <t>A4</t>
  </si>
  <si>
    <t>A5</t>
  </si>
  <si>
    <t>A6</t>
  </si>
  <si>
    <t>Rigid body vehicle with 2 Axles</t>
  </si>
  <si>
    <t>Rigid body vehicle with 3 Axles</t>
  </si>
  <si>
    <t>Vehicle and semi - trailer with 3 Axles</t>
  </si>
  <si>
    <t>Diagram No.:</t>
  </si>
  <si>
    <t>Rigid Body Vehicle with 4 Axles</t>
  </si>
  <si>
    <t>Vehicle &amp; Semi-trailer with 4 Axles</t>
  </si>
  <si>
    <t>Vehicle &amp; drawbar trailer with 4 Axles</t>
  </si>
  <si>
    <t>Vehicle &amp; Semi-trailer with 5 Axles</t>
  </si>
  <si>
    <t>Vehicle &amp; Drawbar Trailer with  5 Axles</t>
  </si>
  <si>
    <t>Vehicle &amp; Semi-trailer with  6 Axles</t>
  </si>
  <si>
    <t>Vehicle &amp; Drawbar Trailer with  6 Axles</t>
  </si>
  <si>
    <t>Tolerance</t>
  </si>
  <si>
    <t>VEHICLE AXLE CONFIGURATION</t>
  </si>
  <si>
    <t>PERMISSIBLE / ALLOWED WEIGHT (Legal weight +Tolerance)</t>
  </si>
  <si>
    <t>MAXIMUM GROSS VEHICLE WEIGHT /  Legal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</si>
</sst>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Footlight MT Light"/>
      <family val="1"/>
    </font>
    <font>
      <sz val="12"/>
      <color theme="1"/>
      <name val="Footlight MT Light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1" applyNumberFormat="1" applyFont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3" fillId="0" borderId="1" xfId="2" applyNumberFormat="1" applyFont="1" applyBorder="1"/>
    <xf numFmtId="9" fontId="3" fillId="0" borderId="1" xfId="2" applyFont="1" applyBorder="1" applyAlignment="1">
      <alignment horizontal="center"/>
    </xf>
    <xf numFmtId="164" fontId="3" fillId="0" borderId="1" xfId="1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149860</xdr:colOff>
      <xdr:row>8</xdr:row>
      <xdr:rowOff>647700</xdr:rowOff>
    </xdr:from>
    <xdr:to>
      <xdr:col>16</xdr:col>
      <xdr:colOff>149860</xdr:colOff>
      <xdr:row>9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E8598A-01AB-AF60-AAB3-EFF3EFCE2B49}"/>
            </a:ext>
          </a:extLst>
        </xdr:cNvPr>
        <xdr:cNvCxnSpPr/>
      </xdr:nvCxnSpPr>
      <xdr:spPr>
        <a:xfrm flipH="1">
          <a:off x="5426710" y="1771650"/>
          <a:ext cx="0" cy="72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17DC-6A4E-4F72-A3DB-FC070E0A7E29}">
  <dimension ref="A1:L16"/>
  <sheetViews>
    <sheetView tabSelected="1" zoomScale="73" zoomScaleNormal="73" workbookViewId="0">
      <selection activeCell="N5" sqref="N5"/>
    </sheetView>
  </sheetViews>
  <sheetFormatPr defaultRowHeight="14.25" x14ac:dyDescent="0.45"/>
  <cols>
    <col min="1" max="1" width="10.3984375" style="1" customWidth="1"/>
    <col min="2" max="2" width="43.1328125" customWidth="1"/>
    <col min="3" max="4" width="10.73046875" bestFit="1" customWidth="1"/>
    <col min="5" max="8" width="12.59765625" customWidth="1"/>
    <col min="9" max="9" width="15.1328125" customWidth="1"/>
    <col min="11" max="11" width="9.1328125" style="1"/>
    <col min="12" max="12" width="13.73046875" customWidth="1"/>
  </cols>
  <sheetData>
    <row r="1" spans="1:12" ht="48" customHeight="1" x14ac:dyDescent="0.45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90" customHeight="1" x14ac:dyDescent="0.45">
      <c r="A2" s="2" t="s">
        <v>11</v>
      </c>
      <c r="B2" s="3" t="s">
        <v>0</v>
      </c>
      <c r="C2" s="15" t="s">
        <v>1</v>
      </c>
      <c r="D2" s="15"/>
      <c r="E2" s="15"/>
      <c r="F2" s="15"/>
      <c r="G2" s="15"/>
      <c r="H2" s="15"/>
      <c r="I2" s="14" t="s">
        <v>22</v>
      </c>
      <c r="J2" s="16" t="s">
        <v>19</v>
      </c>
      <c r="K2" s="16"/>
      <c r="L2" s="11" t="s">
        <v>21</v>
      </c>
    </row>
    <row r="3" spans="1:12" ht="20.100000000000001" customHeight="1" x14ac:dyDescent="0.45">
      <c r="A3" s="2"/>
      <c r="B3" s="3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4"/>
      <c r="J3" s="5"/>
      <c r="K3" s="4"/>
      <c r="L3" s="12"/>
    </row>
    <row r="4" spans="1:12" ht="30" customHeight="1" x14ac:dyDescent="0.45">
      <c r="A4" s="2">
        <v>1</v>
      </c>
      <c r="B4" s="3" t="s">
        <v>8</v>
      </c>
      <c r="C4" s="6">
        <v>8000</v>
      </c>
      <c r="D4" s="6">
        <v>10000</v>
      </c>
      <c r="E4" s="6"/>
      <c r="F4" s="6"/>
      <c r="G4" s="6"/>
      <c r="H4" s="6"/>
      <c r="I4" s="7">
        <f t="shared" ref="I4:I16" si="0">C4+D4+E4+F4+G4+H4</f>
        <v>18000</v>
      </c>
      <c r="J4" s="8">
        <f t="shared" ref="J4:J16" si="1">L4-I4</f>
        <v>1000</v>
      </c>
      <c r="K4" s="9">
        <f t="shared" ref="K4:K16" si="2">J4/I4</f>
        <v>5.5555555555555552E-2</v>
      </c>
      <c r="L4" s="13">
        <v>19000</v>
      </c>
    </row>
    <row r="5" spans="1:12" ht="30" customHeight="1" x14ac:dyDescent="0.45">
      <c r="A5" s="2">
        <v>2</v>
      </c>
      <c r="B5" s="3" t="s">
        <v>9</v>
      </c>
      <c r="C5" s="6">
        <v>8000</v>
      </c>
      <c r="D5" s="6">
        <v>9000</v>
      </c>
      <c r="E5" s="6">
        <v>9000</v>
      </c>
      <c r="F5" s="6"/>
      <c r="G5" s="6"/>
      <c r="H5" s="6"/>
      <c r="I5" s="7">
        <f t="shared" si="0"/>
        <v>26000</v>
      </c>
      <c r="J5" s="8">
        <f t="shared" si="1"/>
        <v>2000</v>
      </c>
      <c r="K5" s="9">
        <f t="shared" si="2"/>
        <v>7.6923076923076927E-2</v>
      </c>
      <c r="L5" s="13">
        <v>28000</v>
      </c>
    </row>
    <row r="6" spans="1:12" ht="30" customHeight="1" x14ac:dyDescent="0.45">
      <c r="A6" s="2">
        <v>3</v>
      </c>
      <c r="B6" s="3" t="s">
        <v>10</v>
      </c>
      <c r="C6" s="6">
        <v>8000</v>
      </c>
      <c r="D6" s="6">
        <v>10000</v>
      </c>
      <c r="E6" s="6">
        <v>10000</v>
      </c>
      <c r="F6" s="6"/>
      <c r="G6" s="6"/>
      <c r="H6" s="6"/>
      <c r="I6" s="7">
        <f t="shared" si="0"/>
        <v>28000</v>
      </c>
      <c r="J6" s="8">
        <f t="shared" si="1"/>
        <v>2000</v>
      </c>
      <c r="K6" s="9">
        <f t="shared" si="2"/>
        <v>7.1428571428571425E-2</v>
      </c>
      <c r="L6" s="13">
        <v>30000</v>
      </c>
    </row>
    <row r="7" spans="1:12" ht="30" customHeight="1" x14ac:dyDescent="0.45">
      <c r="A7" s="2">
        <v>4</v>
      </c>
      <c r="B7" s="3" t="s">
        <v>12</v>
      </c>
      <c r="C7" s="6">
        <v>6000</v>
      </c>
      <c r="D7" s="6">
        <v>6000</v>
      </c>
      <c r="E7" s="6">
        <v>9000</v>
      </c>
      <c r="F7" s="6">
        <v>9000</v>
      </c>
      <c r="G7" s="6"/>
      <c r="H7" s="6"/>
      <c r="I7" s="7">
        <f>C7+D7+E7+F7+G7+H7</f>
        <v>30000</v>
      </c>
      <c r="J7" s="8">
        <f t="shared" si="1"/>
        <v>2000</v>
      </c>
      <c r="K7" s="9">
        <f t="shared" si="2"/>
        <v>6.6666666666666666E-2</v>
      </c>
      <c r="L7" s="13">
        <v>32000</v>
      </c>
    </row>
    <row r="8" spans="1:12" ht="30" customHeight="1" x14ac:dyDescent="0.45">
      <c r="A8" s="2">
        <v>5</v>
      </c>
      <c r="B8" s="3" t="s">
        <v>13</v>
      </c>
      <c r="C8" s="6">
        <v>8000</v>
      </c>
      <c r="D8" s="6">
        <v>10000</v>
      </c>
      <c r="E8" s="6">
        <v>9000</v>
      </c>
      <c r="F8" s="6">
        <v>9000</v>
      </c>
      <c r="G8" s="6"/>
      <c r="H8" s="6"/>
      <c r="I8" s="7">
        <f t="shared" si="0"/>
        <v>36000</v>
      </c>
      <c r="J8" s="8">
        <f t="shared" si="1"/>
        <v>2000</v>
      </c>
      <c r="K8" s="9">
        <f t="shared" si="2"/>
        <v>5.5555555555555552E-2</v>
      </c>
      <c r="L8" s="13">
        <v>38000</v>
      </c>
    </row>
    <row r="9" spans="1:12" ht="30" customHeight="1" x14ac:dyDescent="0.45">
      <c r="A9" s="2">
        <v>6</v>
      </c>
      <c r="B9" s="3" t="s">
        <v>14</v>
      </c>
      <c r="C9" s="6">
        <v>8000</v>
      </c>
      <c r="D9" s="6">
        <v>10000</v>
      </c>
      <c r="E9" s="6">
        <v>8000</v>
      </c>
      <c r="F9" s="6">
        <v>10000</v>
      </c>
      <c r="G9" s="6"/>
      <c r="H9" s="6"/>
      <c r="I9" s="7">
        <f t="shared" si="0"/>
        <v>36000</v>
      </c>
      <c r="J9" s="8">
        <f t="shared" si="1"/>
        <v>2000</v>
      </c>
      <c r="K9" s="9">
        <f t="shared" si="2"/>
        <v>5.5555555555555552E-2</v>
      </c>
      <c r="L9" s="13">
        <v>38000</v>
      </c>
    </row>
    <row r="10" spans="1:12" ht="30" customHeight="1" x14ac:dyDescent="0.45">
      <c r="A10" s="2">
        <v>7</v>
      </c>
      <c r="B10" s="3" t="s">
        <v>15</v>
      </c>
      <c r="C10" s="6">
        <v>8000</v>
      </c>
      <c r="D10" s="6">
        <v>10000</v>
      </c>
      <c r="E10" s="6">
        <v>8000</v>
      </c>
      <c r="F10" s="6">
        <v>8000</v>
      </c>
      <c r="G10" s="6">
        <v>8000</v>
      </c>
      <c r="H10" s="6"/>
      <c r="I10" s="7">
        <f t="shared" si="0"/>
        <v>42000</v>
      </c>
      <c r="J10" s="8">
        <f t="shared" si="1"/>
        <v>2000</v>
      </c>
      <c r="K10" s="9">
        <f t="shared" si="2"/>
        <v>4.7619047619047616E-2</v>
      </c>
      <c r="L10" s="13">
        <v>44000</v>
      </c>
    </row>
    <row r="11" spans="1:12" ht="30" customHeight="1" x14ac:dyDescent="0.45">
      <c r="A11" s="2">
        <v>8</v>
      </c>
      <c r="B11" s="3" t="s">
        <v>15</v>
      </c>
      <c r="C11" s="6">
        <v>8000</v>
      </c>
      <c r="D11" s="6">
        <v>9000</v>
      </c>
      <c r="E11" s="6">
        <v>9000</v>
      </c>
      <c r="F11" s="6">
        <v>9000</v>
      </c>
      <c r="G11" s="6">
        <v>9000</v>
      </c>
      <c r="H11" s="6"/>
      <c r="I11" s="7">
        <f t="shared" si="0"/>
        <v>44000</v>
      </c>
      <c r="J11" s="8">
        <f t="shared" si="1"/>
        <v>2000</v>
      </c>
      <c r="K11" s="9">
        <f t="shared" si="2"/>
        <v>4.5454545454545456E-2</v>
      </c>
      <c r="L11" s="13">
        <v>46000</v>
      </c>
    </row>
    <row r="12" spans="1:12" ht="30" customHeight="1" x14ac:dyDescent="0.45">
      <c r="A12" s="2">
        <v>9</v>
      </c>
      <c r="B12" s="3" t="s">
        <v>16</v>
      </c>
      <c r="C12" s="6">
        <v>8000</v>
      </c>
      <c r="D12" s="6">
        <v>9000</v>
      </c>
      <c r="E12" s="6">
        <v>9000</v>
      </c>
      <c r="F12" s="6">
        <v>8000</v>
      </c>
      <c r="G12" s="6">
        <v>10000</v>
      </c>
      <c r="H12" s="6"/>
      <c r="I12" s="7">
        <f t="shared" si="0"/>
        <v>44000</v>
      </c>
      <c r="J12" s="8">
        <f t="shared" si="1"/>
        <v>2000</v>
      </c>
      <c r="K12" s="9">
        <f t="shared" si="2"/>
        <v>4.5454545454545456E-2</v>
      </c>
      <c r="L12" s="13">
        <v>46000</v>
      </c>
    </row>
    <row r="13" spans="1:12" ht="30" customHeight="1" x14ac:dyDescent="0.45">
      <c r="A13" s="2">
        <v>10</v>
      </c>
      <c r="B13" s="3" t="s">
        <v>17</v>
      </c>
      <c r="C13" s="6">
        <v>8000</v>
      </c>
      <c r="D13" s="6">
        <v>8000</v>
      </c>
      <c r="E13" s="6">
        <v>8000</v>
      </c>
      <c r="F13" s="6">
        <v>7500</v>
      </c>
      <c r="G13" s="6">
        <v>7500</v>
      </c>
      <c r="H13" s="6">
        <v>7500</v>
      </c>
      <c r="I13" s="7">
        <f t="shared" si="0"/>
        <v>46500</v>
      </c>
      <c r="J13" s="8">
        <f t="shared" si="1"/>
        <v>2000</v>
      </c>
      <c r="K13" s="9">
        <f t="shared" si="2"/>
        <v>4.3010752688172046E-2</v>
      </c>
      <c r="L13" s="13">
        <v>48500</v>
      </c>
    </row>
    <row r="14" spans="1:12" ht="30" customHeight="1" x14ac:dyDescent="0.45">
      <c r="A14" s="2">
        <v>11</v>
      </c>
      <c r="B14" s="3" t="s">
        <v>17</v>
      </c>
      <c r="C14" s="6">
        <v>8000</v>
      </c>
      <c r="D14" s="6">
        <v>6750</v>
      </c>
      <c r="E14" s="6">
        <v>9000</v>
      </c>
      <c r="F14" s="6">
        <v>8000</v>
      </c>
      <c r="G14" s="6">
        <v>8000</v>
      </c>
      <c r="H14" s="6">
        <v>8000</v>
      </c>
      <c r="I14" s="7">
        <f t="shared" si="0"/>
        <v>47750</v>
      </c>
      <c r="J14" s="8">
        <f t="shared" si="1"/>
        <v>2250</v>
      </c>
      <c r="K14" s="9">
        <f t="shared" si="2"/>
        <v>4.712041884816754E-2</v>
      </c>
      <c r="L14" s="13">
        <v>50000</v>
      </c>
    </row>
    <row r="15" spans="1:12" ht="30" customHeight="1" x14ac:dyDescent="0.45">
      <c r="A15" s="2">
        <v>12</v>
      </c>
      <c r="B15" s="3" t="s">
        <v>17</v>
      </c>
      <c r="C15" s="6">
        <v>8000</v>
      </c>
      <c r="D15" s="6">
        <v>9000</v>
      </c>
      <c r="E15" s="6">
        <v>9000</v>
      </c>
      <c r="F15" s="6">
        <v>8000</v>
      </c>
      <c r="G15" s="6">
        <v>8000</v>
      </c>
      <c r="H15" s="6">
        <v>8000</v>
      </c>
      <c r="I15" s="7">
        <f t="shared" si="0"/>
        <v>50000</v>
      </c>
      <c r="J15" s="8">
        <f t="shared" si="1"/>
        <v>4000</v>
      </c>
      <c r="K15" s="9">
        <f t="shared" si="2"/>
        <v>0.08</v>
      </c>
      <c r="L15" s="13">
        <v>54000</v>
      </c>
    </row>
    <row r="16" spans="1:12" ht="30" customHeight="1" x14ac:dyDescent="0.45">
      <c r="A16" s="4">
        <v>13</v>
      </c>
      <c r="B16" s="3" t="s">
        <v>18</v>
      </c>
      <c r="C16" s="10">
        <v>8000</v>
      </c>
      <c r="D16" s="10">
        <v>9000</v>
      </c>
      <c r="E16" s="10">
        <v>9000</v>
      </c>
      <c r="F16" s="10">
        <v>8000</v>
      </c>
      <c r="G16" s="10">
        <v>9000</v>
      </c>
      <c r="H16" s="10">
        <v>9000</v>
      </c>
      <c r="I16" s="7">
        <f t="shared" si="0"/>
        <v>52000</v>
      </c>
      <c r="J16" s="8">
        <f t="shared" si="1"/>
        <v>4000</v>
      </c>
      <c r="K16" s="9">
        <f t="shared" si="2"/>
        <v>7.6923076923076927E-2</v>
      </c>
      <c r="L16" s="13">
        <v>56000</v>
      </c>
    </row>
  </sheetData>
  <mergeCells count="4">
    <mergeCell ref="I2:I3"/>
    <mergeCell ref="C2:H2"/>
    <mergeCell ref="J2:K2"/>
    <mergeCell ref="A1:L1"/>
  </mergeCells>
  <pageMargins left="0.7" right="0.7" top="0.75" bottom="0.75" header="0.3" footer="0.3"/>
  <pageSetup paperSize="9" scale="75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Lekoyiet Meitekini</dc:creator>
  <cp:lastModifiedBy>Brian Meitekini Lekoyiet</cp:lastModifiedBy>
  <cp:lastPrinted>2024-04-02T10:40:37Z</cp:lastPrinted>
  <dcterms:created xsi:type="dcterms:W3CDTF">2024-02-15T11:32:04Z</dcterms:created>
  <dcterms:modified xsi:type="dcterms:W3CDTF">2026-03-26T10:05:38Z</dcterms:modified>
</cp:coreProperties>
</file>